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atthawutjantakul/Downloads/"/>
    </mc:Choice>
  </mc:AlternateContent>
  <xr:revisionPtr revIDLastSave="0" documentId="13_ncr:1_{0D583D20-4CD2-9449-B159-CFE192D9D18B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ummary" sheetId="1" r:id="rId1"/>
    <sheet name="Data Exchange" sheetId="2" r:id="rId2"/>
    <sheet name="สูตร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4" i="1"/>
  <c r="H3" i="1"/>
  <c r="G3" i="1"/>
  <c r="G8" i="1" s="1"/>
  <c r="F3" i="1"/>
  <c r="E3" i="1"/>
  <c r="D3" i="1"/>
  <c r="C3" i="1"/>
  <c r="F8" i="1" l="1"/>
  <c r="H8" i="1"/>
  <c r="E8" i="1"/>
  <c r="I7" i="1"/>
  <c r="I4" i="1"/>
  <c r="I6" i="1"/>
  <c r="D8" i="1"/>
  <c r="I5" i="1"/>
  <c r="C8" i="1"/>
  <c r="I3" i="1"/>
  <c r="I8" i="1" s="1"/>
</calcChain>
</file>

<file path=xl/sharedStrings.xml><?xml version="1.0" encoding="utf-8"?>
<sst xmlns="http://schemas.openxmlformats.org/spreadsheetml/2006/main" count="318" uniqueCount="212">
  <si>
    <t>UAT Checklist — Data Exchange</t>
  </si>
  <si>
    <t>No.</t>
  </si>
  <si>
    <t>User Role</t>
  </si>
  <si>
    <t>Not Executed</t>
  </si>
  <si>
    <t>In Progress</t>
  </si>
  <si>
    <t>Passed</t>
  </si>
  <si>
    <t>Skipped</t>
  </si>
  <si>
    <t>Failed</t>
  </si>
  <si>
    <t>Blocked</t>
  </si>
  <si>
    <t>Total</t>
  </si>
  <si>
    <t>Remark</t>
  </si>
  <si>
    <t>ผู้ใช้งานภายนอก</t>
  </si>
  <si>
    <t>ผู้ใช้งานทั่วไป (ที่ยังไม่ได้รับสิทธิ์เข้าถึงข้อมูล Private)</t>
  </si>
  <si>
    <t>ผู้ใช้งานภายในที่มีสิทธิ์ใน Dataset</t>
  </si>
  <si>
    <t>ผู้ดูแลข้อมูลรายหน่วยงาน</t>
  </si>
  <si>
    <t>ผู้ดูแลระบบ</t>
  </si>
  <si>
    <t>Total by Status</t>
  </si>
  <si>
    <t>Test Case No.</t>
  </si>
  <si>
    <t>Module</t>
  </si>
  <si>
    <t>Test Description</t>
  </si>
  <si>
    <t>Test Data</t>
  </si>
  <si>
    <t>Precondition</t>
  </si>
  <si>
    <t>Test Step</t>
  </si>
  <si>
    <t>Test Expected Result</t>
  </si>
  <si>
    <t>Test Result</t>
  </si>
  <si>
    <t>Planned UAT Date</t>
  </si>
  <si>
    <t>Actual UAT Date</t>
  </si>
  <si>
    <t>Test By</t>
  </si>
  <si>
    <t>ผู้ใช้งานภายนอก (Scenario: ยังไม่สมัครหรือ Login เข้าระบบ เห็นเฉพาะ Landing Page และเริ่มต้นสมัครสมาชิกหรือ Login)</t>
  </si>
  <si>
    <t>EXT-001</t>
  </si>
  <si>
    <t>เข้าใช้งานหน้าระบบ (TOR : 5.7.8 (9))</t>
  </si>
  <si>
    <t>1. เปิด Chrome/Edge แบบ InPrivate และตรวจว่าไม่มี Session เดิม
2. เข้า URL : http://dexuat.duckdns.org:3003 ระบบจากแถบ Address
3. รอหน้า Landing Page โหลดจนเสร็จและเลื่อนจากส่วนบนถึง Footer
4. ตรวจเมนู ข้อความ สถิติ Features ขั้นตอนใช้งาน CTA และรูปภาพ</t>
  </si>
  <si>
    <t>หน้าโหลดสำเร็จ เมนู สถิติ Features ขั้นตอนใช้งาน CTA และ Footer แสดงครบ</t>
  </si>
  <si>
    <t>EXT-002</t>
  </si>
  <si>
    <t>ทดสอบเมนูสาธารณะ(TOR : 5.7.8 (1),(2),(9) )</t>
  </si>
  <si>
    <t>1. เริ่มจากหน้า Landing Page โดยยังไม่ Login
2. คลิกเมนู หน้าแรก เกี่ยวกับเรา และติดต่อเรา ทีละรายการ
3. ตรวจ URL ชื่อหน้า Breadcrumb และเนื้อหาหลักหลังเปลี่ยนหน้า
4. ใช้ปุ่ม Back/Forward ของ Browser แล้วตรวจว่าหน้าไม่ผิดลำดับ
5. ตรวจว่าไม่มีหน้า 404 หน้าว่าง หรือข้อความ Error</t>
  </si>
  <si>
    <t>URL และเนื้อหาตรงเมนู ไม่มี 404 หรือหน้าว่าง</t>
  </si>
  <si>
    <t>EXT-003</t>
  </si>
  <si>
    <t>สมัครสมาชิกครบขั้นตอน(TOR : 5.7.8 (1)-(4),(6),(7))</t>
  </si>
  <si>
    <t>1. เปิดหน้า Register จาก Landing/Login แล้วกด สมัครสมาชิก
2. กรอก Username และอีเมลไม่ซ้ำ พร้อม Password/Confirm Password ตรงกัน
3. กดถัดไป กรอกข้อมูลส่วนตัว หน่วยงาน/องค์กร(ไม่บังคับ) และช่องบังคับทุกขั้น
4. ตรวจทาน ยอมรับเงื่อนไข แล้วกดยืนยันสมัคร
5. ตรวจข้อความสำเร็จ สถานะรอยืนยันอีเมล และบันทึก Registration Log
6. ยืนยันอีเมลที่ถูกส่งไม่ mail ที่บันทึกไว้</t>
  </si>
  <si>
    <t>ตรวจรูปแบบ/ความซ้ำ บันทึกสำเร็จ ส่งยืนยันอีเมล และเข้าสถานะรออนุมัติ</t>
  </si>
  <si>
    <t>EXT-004</t>
  </si>
  <si>
    <t>เข้าสู่ระบบสำเร็จ (TOR : 5.7.8 (8))</t>
  </si>
  <si>
    <t>1. เปิดหน้า Login และกรอกข้อมูลถูกต้อง
2. เลือก/ไม่เลือก Remember me ตามรอบทดสอบแล้วกดเข้าสู่ระบบ
3. รอ Redirect และตรวจชื่อผู้ใช้ บทบาท เมนู และหน้าเริ่มต้น
4. Refresh หน้าเพื่อยืนยัน Session และบันทึกภาพหลัง Login</t>
  </si>
  <si>
    <t>เข้าสู่หน้าที่กำหนดตามบทบาท สร้าง Session และแสดงชื่อผู้ใช้ถูกต้อง</t>
  </si>
  <si>
    <t>EXT-005</t>
  </si>
  <si>
    <t>ออกจากระบบ (TOR : 5.7.8 (8))</t>
  </si>
  <si>
    <t>1. Login ด้วยบัญชี Active ให้สำเร็จ
2. กดเมนูผู้ใช้และเลือก ออกจากระบบ
3. ตรวจว่า Redirect ไป Landing/Login และชื่อผู้ใช้หายไป
4. กด Back และเปิด URL ภายในจาก Bookmark
5. ตรวจว่าระบบขอ Login ใหม่และ Session เดิมใช้ไม่ได้</t>
  </si>
  <si>
    <t>ล้าง Session และถูกส่งกลับหน้าเข้าสู่ระบบทุกกรณี</t>
  </si>
  <si>
    <t>EXT-006</t>
  </si>
  <si>
    <t>เข้าสู่ระบบผิด
(TOR : 5.7.8 (8))</t>
  </si>
  <si>
    <t>1. เปิดหน้า Login ในหน้าต่างใหม่ที่ไม่มี Session
2. กรอก Username ถูกต้องและ Password ผิด
3. กดเข้าสู่ระบบหนึ่งครั้งและบันทึกข้อความแจ้งเตือน/จำนวนครั้งคงเหลือ
4. ตรวจว่า URL ยังเป็นหน้า Login และเมนูภายในไม่ปรากฏ
5. ตรวจ Log การเข้าสู่ระบบล้มเหลวด้วยบัญชี</t>
  </si>
  <si>
    <t>ไม่สร้าง Session ไม่เปิดเผยว่าฟิลด์ใดถูก และแสดงจำนวนครั้งคงเหลือเหมาะสม</t>
  </si>
  <si>
    <t>EXT-007</t>
  </si>
  <si>
    <t>ลืมรหัสผ่าน(TOR : 5.7.8 (8))</t>
  </si>
  <si>
    <t>1. เปิดหน้า Login และคลิก Forgot password
2. กรอก Username ที่มีอีเมลลงทะเบียนแล้วและกดส่งคำขอ
3. ตรวจข้อความยืนยันและกล่องอีเมลของบัญชีทดสอบ
4. ใช้ลิงก์/รหัสที่ได้รับตั้งรหัสผ่านใหม่ตามนโยบาย
5. ทดสอบลิงก์เดิมซ้ำและ Login ด้วยรหัสใหม่เพื่อยืนยันการหมดอายุ/ใช้ซ้ำไม่ได้</t>
  </si>
  <si>
    <t>ส่งคำขอสำเร็จ ลิงก์/รหัสหมดอายุ ใช้ซ้ำไม่ได้ และไม่เปิดเผยการมีอยู่ของบัญชี</t>
  </si>
  <si>
    <t>EXT-008</t>
  </si>
  <si>
    <t>ล็อกบัญชีเมื่อผิดซ้ำ (TOR : 5.7.8 (8))</t>
  </si>
  <si>
    <t>1. เตรียมบัญชีทดสอบสำหรับล็อกโดยเฉพาะ
2. กรอก Password ผิดซ้ำตามจำนวนครั้งสูงสุดที่กำหนด
3. บันทึกข้อความทุกครั้งและเวลาที่บัญชีถูกล็อก
4. กรอก Password ถูกต้องทันทีหลังถูกล็อก
5. ตรวจว่ายังเข้าไม่ได้ มีข้อความ/วิธีปลดล็อก และมี Audit Log</t>
  </si>
  <si>
    <t>บัญชีถูกล็อกชั่วคราว มี Audit Log และแจ้งวิธีปลดล็อก</t>
  </si>
  <si>
    <t>ผู้ใช้งานทั่วไป (ที่ยังไม่ได้รับสิทธิ์เข้าถึงข้อมูล Private) (Scenario: สมัครเข้าสู่ระบบแล้ว เห็นข้อมูล Public แต่ข้อมูล Private จะเห็นเฉพาะ Metadata และต้องร้องขอสิทธิ์ก่อน)</t>
  </si>
  <si>
    <t>GEN-001</t>
  </si>
  <si>
    <t>Login สำเร็จ (TOR : 5.7.8 (8))</t>
  </si>
  <si>
    <t>1. เข้า URL ระบบ Data Exchange
2. กรอก Username : ตามที่กำหนด
3. กรอก Password : ตามที่กำหนด
4. กดปุ่ม Login (เข้าสู่ระบบ)
5. รอ redirect ไปหน้าหลัก</t>
  </si>
  <si>
    <t>GEN-002</t>
  </si>
  <si>
    <t>ค้นหาด้วยคำสำคัญ (TOR : 5.7.8 (9))</t>
  </si>
  <si>
    <t>1. Login ด้วยผู้ใช้ทั่วไปแล้วเปิดเมนู บัญชีข้อมูล
2. กรอกคำค้นจากชื่อ Dataset ภาษาไทยและกดค้นหา
3. ล้างค่าและค้นด้วยคำภาษาอังกฤษ/คำใน Tag
4. เลือกคำแนะนำ Auto Complete ถ้ามี
5. ตรวจผลลัพธ์ จำนวนรายการ คำค้น และความเกี่ยวข้องของข้อมูล</t>
  </si>
  <si>
    <t>รายการตรงเงื่อนไข จำนวนผลลัพธ์และคำค้นแสดงถูกต้อง</t>
  </si>
  <si>
    <t>GEN-003</t>
  </si>
  <si>
    <t>ตัวกรองและล้างค่า (TOR : 5.7.8 (9))</t>
  </si>
  <si>
    <t>1. เปิด Catalog ด้วยค่าตั้งต้นและบันทึกจำนวนรวม
2. เลือกหมวดหมู่หนึ่ง ระดับการเข้าถึง และรูปแบบไฟล์
3. ตรวจรายการหลังเลือกแต่ละ Filter และตัวเลข Facet
4. เลือกหลายค่าตามที่ระบบรองรับ แล้ว Refresh หน้า
5. กดล้าง Filter และยืนยันค่ากับจำนวนรวมกลับสู่ค่าเริ่มต้น</t>
  </si>
  <si>
    <t>ผลลัพธ์เป็น AND/OR ตามข้อกำหนด ตัวเลข facet ถูกต้อง และกลับค่าเริ่มต้นเมื่อล้าง</t>
  </si>
  <si>
    <t>GEN-004</t>
  </si>
  <si>
    <t>เรียงลำดับและแบ่งหน้า(TOR : 5.7.8 (9))</t>
  </si>
  <si>
    <t>1. ค้นหา/กรองให้ได้ผลลัพธ์มากกว่าหนึ่งหน้า
2. เลือกเรียงตาม เกี่ยวข้องมากที่สุด แล้วบันทึกลำดับ 3 รายการแรก
3. เปลี่ยนเป็น ใหม่ล่าสุด และยอดนิยม ทีละค่า
4. เปลี่ยนหน้าไปหน้า 2 แล้วกลับหน้า 1
5. ตรวจไม่มีรายการซ้ำ/ตกหล่น และ Filter/Sort ยังคงเดิม</t>
  </si>
  <si>
    <t>ลำดับถูกต้อง ไม่ซ้ำ/ตกหล่น และคง filter ข้ามหน้า</t>
  </si>
  <si>
    <t>GEN-005</t>
  </si>
  <si>
    <t>รายละเอียดชุดข้อมูล (TOR : 5.7.2; 5.7.8 (9))</t>
  </si>
  <si>
    <t>1. จาก Catalog คลิก Dataset ที่กำหนดไว้ในข้อมูลทดสอบ
2. ตรวจชื่อ Dataset ID เจ้าของ คำอธิบาย หมวดหมู่ Sensitivity และรูปแบบไฟล์
3. ตรวจจำนวนระเบียน วันที่สร้าง/ปรับปรุง Tags และ Metadata อื่น
4. ตรวจปุ่ม Download, Request Access หรือ API ให้ตรงสิทธิ์</t>
  </si>
  <si>
    <t>ชื่อ เจ้าของ คำอธิบาย Sensitivity รูปแบบ จำนวนระเบียน วันที่ และ Metadata แสดงถูกต้องไม่มีข้อมูลผิดรูปแบบ</t>
  </si>
  <si>
    <t>GEN-006</t>
  </si>
  <si>
    <t>รายการโปรด(TOR : 5.7.8 (9))</t>
  </si>
  <si>
    <t>1. Login ด้วยผู้ใช้ทั่วไปและเปิด Dataset ที่ยังไม่เป็นรายการโปรด
2. คลิกไอคอนเพิ่มรายการโปรดและตรวจสถานะเปลี่ยน
3. เปิดเมนูรายการโปรดและยืนยันว่าพบ Dataset
4. ลบออกจากรายการโปรดและยืนยันว่าหายทั้งสองหน้า</t>
  </si>
  <si>
    <t>สถานะโปรดเปลี่ยนทันทีและคงอยู่เฉพาะผู้ใช้</t>
  </si>
  <si>
    <t>GEN-007</t>
  </si>
  <si>
    <t>ดาวน์โหลด Public (TOR : 5.7.8 (9) )</t>
  </si>
  <si>
    <t>1. เลือก Dataset แบบ Public ที่มีไฟล์ CSV/XLS
2. กด Download/Export และเลือกรูปแบบแรก
3. เปิดไฟล์ ตรวจชื่อไฟล์ Header Encoding จำนวนแถวตัวอย่าง และข้อมูล</t>
  </si>
  <si>
    <t>ไฟล์ดาวน์โหลดได้ ชื่อ/ชนิด/encoding/ข้อมูลถูกต้อง</t>
  </si>
  <si>
    <t>GEN-008</t>
  </si>
  <si>
    <t>ขอสิทธิ์ Restricted/PII
(TOR : 5.7.5 (3)-(8); 5.7.8 (9))</t>
  </si>
  <si>
    <t>1. Login ด้วยผู้ใช้ทั่วไปที่ยังไม่มีสิทธิ์ Dataset Private
2. เปิดรายละเอียด Dataset และยืนยันว่าเห็นเฉพาะ Metadata
3. กด Request Access เลือก Dataset/Field ระบุวัตถุประสงค์
4. ตรวจทานแล้วกดส่งเพียงครั้งเดียว
5. ตรวจเลขคำขอ สถานะ Pending การแจ้งเตือน และไม่สามารถดาวน์โหลดก่อนอนุมัติ</t>
  </si>
  <si>
    <t>เปิดหน้าหรือเมนูที่ระบุได้สำเร็จ และระบบแสดงเฉพาะเมนูที่บทบาทนี้มีสิทธิ์ ไม่สามารถดาวน์โหลดไฟล์หรือดูข้อมูลได้ก่อนอนุมัติ ขึ้นสถานะรออนุมัติ</t>
  </si>
  <si>
    <t>GEN-009</t>
  </si>
  <si>
    <t>ตรวจข้อมูล Private ก่อนอนุมัติ (TOR : 5.7.5 (8); 5.7.8 (4),(9))</t>
  </si>
  <si>
    <t>1. Login ด้วยผู้ใช้ทั่วไปที่ไม่มีสิทธิ์ Dataset Private
2. ค้นหา Dataset Private จาก Catalog และเปิดรายละเอียด
3. ตรวจ Metadata ที่อนุญาตให้แสดงและลองคลิก Download/API หามี Function ขึ้นมาให้กด</t>
  </si>
  <si>
    <t>เห็นเฉพาะ Metadata ไม่เห็นเนื้อหาหรือดาวน์โหลด และมีปุ่มร้องขอสิทธิ์</t>
  </si>
  <si>
    <t>GEN-010</t>
  </si>
  <si>
    <t>แก้ไขโปรไฟล์(TOR : 5.7.8 (8),(9))</t>
  </si>
  <si>
    <t>1. Login ด้วยผู้ใช้ทั่วไปและเปิด Profile &gt; Personal Info
2. บันทึกค่าเดิม แล้วแก้ First Name, Last Name และ Usage Objectiveแล้วกด Save Changes
3. Refresh/Logout-Login และตรวจข้อมูล Header/Profile</t>
  </si>
  <si>
    <t>Save ตรวจรูปแบบและบันทึก Header อัปเดตสอดคล้อง</t>
  </si>
  <si>
    <t>GEN-011</t>
  </si>
  <si>
    <t>เปลี่ยนรหัสผ่านจากหน้าโปร์ไฟล์(TOR : 5.7.8 (8))</t>
  </si>
  <si>
    <t>1. เปิด Profile &gt; Security ด้วยบัญชีทดสอบ
2. กรอกรหัสผ่านเดิม รหัสใหม่ที่ผ่าน Policy และ Confirm ให้ตรง
3. กดบันทึกและตรวจข้อความสำเร็จ
4. ทดลองใช้ Session เก่าหรือ Browser อีกหน้าต่าง
5. Logout แล้ว Login ด้วยรหัสเดิมและรหัสใหม่เพื่อยืนยันการเปลี่ยน</t>
  </si>
  <si>
    <t>ตรวจรหัสเดิม/ความแข็งแรง เปลี่ยนสำเร็จ ยกเลิก Session เก่า และไม่เก็บรหัสผ่านแบบอ่านได้</t>
  </si>
  <si>
    <t>GEN-012</t>
  </si>
  <si>
    <t>1. Login ด้วยผู้ใช้ทั่วไปที่ไม่มีสิทธิ์ Dataset Private
2. ค้นหา Dataset Private จาก Catalog และเปิดรายละเอียด
3. ตรวจ Metadata ที่อนุญาตให้แสดงและลองคลิก Download/API
4. เปิด Developer Tools ตรวจ Response เพื่อยืนยันว่าไม่มีเนื้อหาถูกส่ง</t>
  </si>
  <si>
    <t>ผู้ใช้งานภายในที่มีสิทธิ์ใน Dataset (Scenario : Login และได้รับสิทธิ์แล้ว สามารถเข้าถึงข้อมูลตาม Dataset และ Field ที่ได้รับอนุมัติเท่านั้น)</t>
  </si>
  <si>
    <t>INT-001</t>
  </si>
  <si>
    <t>เข้าถึง Dataset หลังได้รับสิทธิ์ (TOR : 5.7.5 (3)-(5),(8); 5.7.8 (9))</t>
  </si>
  <si>
    <t>1. ให้ผู้ดูแลอนุมัติสิทธิ์ Dataset Private แก่ผู้ใช้ภายใน 
2. Logout/Login ใหม่ด้วยผู้ใช้ภายใน
3. เปิด Dataset จาก Catalog/ลิงก์ตรงและดูรายละเอียด
4. ตรวจสถานะสิทธิ์ ข้อมูลที่เห็น</t>
  </si>
  <si>
    <t>เข้าถึง Dataset ได้ตามช่วงเวลาและสิทธิ์ที่อนุมัติ</t>
  </si>
  <si>
    <t>INT-002</t>
  </si>
  <si>
    <t>ดาวน์โหลด ข้อมูล Private ที่ได้รับสิทธิ์ (TOR : 5.7.8 (9))</t>
  </si>
  <si>
    <t>1. Login ด้วยผู้ใช้ภายในที่ได้รับสิทธิ์ Dataset Private แล้ว
2. เปิด Dataset และเลือก Export รูปแบบที่ได้รับอนุมัติ
3. ดาวน์โหลดและเปิดไฟล์ ตรวจชื่อ Dataset, Field และจำนวนแถวตัวอย่าง</t>
  </si>
  <si>
    <t>ดาวน์โหลดได้เฉพาะรูปแบบและข้อมูลที่อนุมัติ พร้อมบันทึก Log</t>
  </si>
  <si>
    <t>INT-003</t>
  </si>
  <si>
    <t>เข้าถึงพจนาณุกรมข้อมูลได้เห็น , Field และจำนวนแถวตัวอย่าง</t>
  </si>
  <si>
    <t>1. เปิด Dataset และเลือก พจนาณุกรม
2. ตรวจชื่อ Dataset, Field และจำนวนแถวตัวอย่าง</t>
  </si>
  <si>
    <t>แสดง Dataset, Field และจำนวนแถวตัวอย่างตามสิทธิ์</t>
  </si>
  <si>
    <t>INT-004</t>
  </si>
  <si>
    <t>เข้าถึง Dashboard ได้ตามสิทธิ์</t>
  </si>
  <si>
    <t>1. เปิด Dataset และเลือก Dashboard
2. สามารถเข้าถึง Dashboard และเข้าชมได้ตามสิทธิ์</t>
  </si>
  <si>
    <t>แสดง Dashboard และเข้าชมได้ตามสิทธิ์</t>
  </si>
  <si>
    <t>ผู้ดูแลข้อมูลรายหน่วยงาน (Scenario: สร้าง Dataset,จัดการข้อมูลของหน่วยงานตนเองและอนุมัติสิทธิ์ให้ผู้ร้องขอเข้าถึงข้อมูลของหน่วยงาน)</t>
  </si>
  <si>
    <t>ORG-001</t>
  </si>
  <si>
    <t>ORG-002</t>
  </si>
  <si>
    <t>สร้างชุดข้อมูลข้อมูลครบ(TOR : 5.7.2; 5.7.7 (14)-(16))</t>
  </si>
  <si>
    <t>1. Login ด้วยผู้ดูแลข้อมูลรายหน่วยงานและเปิด Dataset Management
2. กดเพิ่ม/สร้างชุดข้อมูลใหม่และเลือกประเภทข้อมูล
3. กรอก Core Info, Governance, Technical และ Visualization ด้วยรหัส UAT-DS-002
4. เลือกหน่วยงานตนเองและสถานะ active ก่อน
5. กดบันทึก ตรวจข้อความสำเร็จ และค้นหา Dataset ที่สร้าง</t>
  </si>
  <si>
    <t>สร้าง Dataset ID ไม่ซ้ำ ค่า Metadata ครบ และ Active/Inactive มีผลตามกำหนด</t>
  </si>
  <si>
    <t>ORG-003</t>
  </si>
  <si>
    <t>เพิ่มไฟล์ชุดข้อมูล (TOR : 5.7.6 (1),(2); 5.7.7 (1))</t>
  </si>
  <si>
    <t>1. เปิด Dataset ที่สร้างและเลือกเมนูเพิ่มไฟล์
2. อัปโหลดไฟล์ CSV/Excel ที่ถูกต้องและรอ Validation</t>
  </si>
  <si>
    <t>ไฟล์ถูกต้องผ่าน Validation; ไฟล์ผิดถูกปฏิเสธโดยไม่ค้างไฟล์ชั่วคราว</t>
  </si>
  <si>
    <t>ORG-004</t>
  </si>
  <si>
    <t>เพิ่มลิงก์และสร้าง Dashbaord (TOR : 5.7.6 (1),(2); 5.7.7 (1))</t>
  </si>
  <si>
    <t>1. เปิด Dataset Management ค้นชุดข้อมูล UAT-DS-002 กดแก้ไข
2. เลือกเพิ่มลิงก์ กรอก URL Resource ที่เข้าถึงได้และบันทึก
3. บันทึกแล้วตรวจ Resource/Dashboard Management ว่าผูกกับ Dataset ถูกต้อง</t>
  </si>
  <si>
    <t>ตรวจ URL/การเชื่อมต่อ สร้าง ถูกชุดข้อมูลสามารถเข้าใช้งานได้</t>
  </si>
  <si>
    <t>ORG-005</t>
  </si>
  <si>
    <t>แก้ไข/ปิดใช้งาน(TOR : 5.7.2; 5.7.5 (1))</t>
  </si>
  <si>
    <t>1. เปิด Dataset ที่มีอยู่ใน Dataset Management
2. กด Edit เปลี่ยนคำอธิบาย Tags และวันที่ปรับปรุง แล้วบันทึก
3. เปิดหน้ารายละเอียดเพื่อยืนยันค่าใหม่
4. กลับมาเปลี่ยนสถานะ Active เป็น Inactive
5. เปิด Catalog ด้วย User อื่นและตรวจว่าไม่พบ</t>
  </si>
  <si>
    <t>ประวัติแก้ไขครบ ค่าใหม่แสดงถูก และ Inactive ไม่ปรากฏหน้าสาธารณะ</t>
  </si>
  <si>
    <t>ORG-006</t>
  </si>
  <si>
    <t>รายการ Dataset Management (TOR : 5.7.2; 5.7.7 (12),(14))</t>
  </si>
  <si>
    <t>1. เปิด Dataset Management และบันทึก Total/Active/Inactive
2. กรองตามหมวดหมู่และสถานะทีละค่า
3. ค้นหา Dataset ID/Name ที่กำหนด
4. เปิด Action View/Edit ของรายการที่มีสิทธิ์
5. เปรียบเทียบจำนวนสรุปกับรายการและตรวจว่า Action ตรงบทบาท</t>
  </si>
  <si>
    <t>ยอด Total/Active/Inactive ตรงรายการ ตัวกรองและ Action ทำงานถูกสิทธิ์</t>
  </si>
  <si>
    <t>ORG-007</t>
  </si>
  <si>
    <t>โหลดคำขอสิทธิ์ข้อมูล (TOR : 5.7.8 (9))</t>
  </si>
  <si>
    <t>1. เตรียมคำขอเข้าถึง Dataset ของหน่วยงานตนเองหนึ่งรายการ
2. Login ด้วยผู้ดูแลข้อมูลรายหน่วยงานและเปิดหน้าคำขอสิทธิ์
3. กด Refresh/เลือกแท็บคำขอข้อมูลและค้นหาเลขคำขอ
4. ยืนยันว่าข้อมูลโหลดได้ครบโดยไม่ขึ้น Error และยังไม่อนุมัติในเคสนี้</t>
  </si>
  <si>
    <t>โหลดรายการได้โดยไม่ขึ้นข้อผิดพลาด แยกคำขอสมาชิก/ข้อมูลถูกต้อง</t>
  </si>
  <si>
    <t>ORG-008</t>
  </si>
  <si>
    <t>อนุมัติสิทธิ์เฉพาะข้อมูลของหน่วย งาน (TOR : 5.7.8 (9))</t>
  </si>
  <si>
    <t>1. เตรียมคำขอสิทธิ์ Dataset ของหน่วยงาน
2. Login ด้วยผู้ดูแลข้อมูลหน่วยงานและเปิดหน้า คำขอ
3. อนุมัติคำขอของหน่วยงาน 
4. ค้นหา/เปิดคำขอของหน่วยงาน B และทดลองอนุมัติ
5. ตรวจว่าอนุมัติ A สำเร็จ</t>
  </si>
  <si>
    <t>อนุมัติได้เฉพาะคำขอของหน่วยงานตน คำขออื่นไม่แสดงหรือถูกปฏิเสธ</t>
  </si>
  <si>
    <t>ผู้ดูแลระบบ (Scenario: จัดการผู้ใช้ การสมัคร สิทธิ์ กลุ่ม Dataset/API การอนุมัติคำขอ และติดตามการใช้งานทั้งระบบ)</t>
  </si>
  <si>
    <t>ADM-001</t>
  </si>
  <si>
    <t>ADM-002</t>
  </si>
  <si>
    <t>รายการ API General - เพิ่มและแก้ไข API (TOR : 5.7.5 (1)-(11), 5.7.7 (16)</t>
  </si>
  <si>
    <t>ไปที่เมนู API Management &gt; API General
ตรวจสอบรายการ API ทั้งหมดที่แสดงในระบบ
เลือก API ที่ต้องการกำหนดสิทธิ์ให้ผู้ใช้งาน
คลิกปุ่ม ADD USER ค้นหาและเลือกผู้ใช้งานที่ต้องการให้สิทธิ์
กำหนดสิทธิ์การเข้าถึง API ให้แก่ผู้ใช้งาน
ตั้งค่าวันและเวลาหมดอายุของสิทธิ์การเข้าถึง API
ทดสอบเปิดและปิดสิทธิ์การเข้าถึง API ของผู้ใช้งานชั่วคราว
ถอนสิทธิ์หรือลบสิทธิ์การเข้าถึง API ของผู้ใช้งานอย่างถาวร</t>
  </si>
  <si>
    <t>ผู้ดูแลระบบสามารถตรวจสอบรายการ API เพิ่มผู้ใช้งาน และกำหนดสิทธิ์การเข้าถึง API ได้สำเร็จ รวมถึงสามารถตั้งค่าวันหมดอายุ เปิด–ปิดสิทธิ์ชั่วคราว และถอนสิทธิ์อย่างถาวรได้ตามที่กำหนด</t>
  </si>
  <si>
    <t>ADM-003</t>
  </si>
  <si>
    <t>API Scopes (TOR : 5.7.5 (3)-(8))</t>
  </si>
  <si>
    <t>1. เปิด API Scopes/Permission และสร้าง Scope ใหม่
2. เลือก User/Group, Dataset, Method, Field และช่วงเวลาที่อนุญาต
3. บันทึกแล้วเรียก API ภายใน Scope</t>
  </si>
  <si>
    <t>อนุญาตเฉพาะ Method/Resource/Field ที่กำหนด และปฏิเสธนอก Scope</t>
  </si>
  <si>
    <t>ADM-004</t>
  </si>
  <si>
    <t>API Monitor ช่วงเวลา(TOR : 5.7.5 (9)-(11))</t>
  </si>
  <si>
    <t>1. เปิด API Monitor และเลือก Today
2. บันทึก Total Hits, Success Rate, Errors, Consumers และกราฟ
3. สลับเป็น 7 Days, 30 Days และ 2 Years
4. เลือก Custom Date ที่ทราบว่ามีข้อมูล
5. ตรวจว่าการ์ด กราฟ และตาราง Log เปลี่ยนตามช่วงเดียวกัน</t>
  </si>
  <si>
    <t>Total Hits, Success Rate, Errors, Consumers, Trend และ Logs ใช้ช่วงเวลาเดียวกัน</t>
  </si>
  <si>
    <t>ADM-005</t>
  </si>
  <si>
    <t>API Logs/Empty state (TOR : 5.7.5 (9)-(11))</t>
  </si>
  <si>
    <t>1. ตั้งช่วงเวลา API Monitor ที่มีการเรียกใช้งาน
2. ตรวจ Timestamp local, Result, Endpoint, Client IP และ Region ใน Log
3. เปลี่ยนเป็นช่วงเวลาที่ไม่มีข้อมูล
4. ตรวจ Empty state ไม่ขึ้น Error และ Export/Refresh ถ้ามีทำงานถูกต้อง</t>
  </si>
  <si>
    <t>แสดง Timestamp local, Result, Endpoint, IP, Region ถูกต้อง; empty state ไม่ถือเป็น error</t>
  </si>
  <si>
    <t>ADM-006</t>
  </si>
  <si>
    <t>Dashboard (TOR : 5.7.9 (1)-(3))</t>
  </si>
  <si>
    <t>1. Login ด้วยผู้ดูแลระบบและเปิด Dashboard(หน้าหลัก)
2. รอ KPI กราฟ Recent Datasets และ Recent Activity โหลดครบ
3. เปรียบเทียบตัวเลขกับ API Monitor/Dataset Management</t>
  </si>
  <si>
    <t>ข้อมูลโหลดครบ วันที่/ตัวเลขสอดคล้องแหล่งข้อมูล และไม่แสดงข้อมูลเกินสิทธิ์</t>
  </si>
  <si>
    <t>ADM-007</t>
  </si>
  <si>
    <t>เพิ่มผู้ใช้ (TOR : 5.7.8 (5),(7),(8))</t>
  </si>
  <si>
    <t>1. เปิด User Management ด้วยผู้ดูแลระบบและกด Add User
2. กรอก Username/Email ใหม่ ข้อมูลส่วนตัว หน่วยงาน และบทบาทเริ่มต้น
3. บันทึกแล้วค้นหาผู้ใช้จากรายการ
4. ทดลองสร้างซ้ำด้วย Username/Email เดิม
5. ตรวจข้อมูล บทบาท วันที่สร้าง Validation และ Audit Log</t>
  </si>
  <si>
    <t>ตรวจข้อมูลซ้ำ บันทึกผู้ใช้ และบทบาทเริ่มต้นตรงนโยบาย</t>
  </si>
  <si>
    <t>ADM-008</t>
  </si>
  <si>
    <t>เปลี่ยนบทบาทผู้ใช้ (TOR : 5.7.5 (3)-(8); 5.7.8 (8))</t>
  </si>
  <si>
    <t>1. เลือกผู้ใช้ทั่วไปใน User Management และบันทึกเมนูเดิม
2. เปลี่ยนบทบาทเป็น Admin/บทบาทเป้าหมายและบันทึก
3. Logout แล้ว Login ด้วยผู้ใช้นั้น ตรวจเมนูและสิทธิ์ใหม่
4. กลับด้วย System Admin และลดสิทธิ์เป็น User
5. Refresh/เปิด URL เดิมและตรวจว่าสิทธิ์เก่าถูกถอน พร้อม Audit Log</t>
  </si>
  <si>
    <t>สิทธิ์มีผลทันที/ตาม Session policy ไม่คงสิทธิ์เดิม และมี Audit Log</t>
  </si>
  <si>
    <t>ADM-009</t>
  </si>
  <si>
    <t>กลุ่มผู้ใช้ (TOR : 5.7.5 (3)-(8); 5.7.8 (9))</t>
  </si>
  <si>
    <t>1. เปิด Group User Management และกด Create New Group
2. ตั้งชื่อ UAT_TESTERS และบันทึก
3. เปิด Manage เพิ่มผู้ใช้สองรายและทดลองเพิ่มคนเดิมซ้ำ
4. ลบสมาชิกหนึ่งรายและตรวจจำนวนสมาชิก
5. ลบกลุ่มออก</t>
  </si>
  <si>
    <t>จำนวนกลุ่ม/สมาชิกอัปเดต สมาชิกไม่ซ้ำ และสามารถลบกลุ่มได้ออกได</t>
  </si>
  <si>
    <t>ADM-010</t>
  </si>
  <si>
    <t>กลุ่มชุดข้อมูล (TOR : 5.7.5 (3)-(8); 5.7.8 (9))</t>
  </si>
  <si>
    <t>1. เปิด Group Dataset Management และสร้าง/เลือกกลุ่ม UAT_TESTERS
2. กดจัดการชุดข้อมูลและเพิ่ม Dataset ที่กำหนด
3. ทดลองเพิ่ม Dataset เดิมซ้ำแล้วบันทึก
4. Login ด้วยสมาชิกกลุ่มและเปิด Dataset
5. ลบ Dataset ออกจากกลุ่มแล้วตรวจว่าสมาชิกเข้าถึงไม่ได้ตาม Policy</t>
  </si>
  <si>
    <t>จำนวน Dataset อัปเดต ไม่ผูกซ้ำ และสมาชิกกลุ่มเข้าถึงได้ตามที่กำหนด</t>
  </si>
  <si>
    <t>ADM-011</t>
  </si>
  <si>
    <t>Permission Management (TOR : 5.7.5 (3)-(8); 5.7.8 (9))</t>
  </si>
  <si>
    <t>1. เปิด Permission Management และเลือกบทบาทผู้ใช้งาน
2. เพิ่มหรือแก้ไข บทบาทผู้ใช้งาน และกำหนดสิทธิ์สำหรับบทบาทในตการเข้าถึง</t>
  </si>
  <si>
    <t>เพิ่มหรือแก้ไข และสามารถเข้าถึงข้อมูลได้ครบตามบทบาทที่กำหนด</t>
  </si>
  <si>
    <t>ADM-012</t>
  </si>
  <si>
    <t>จัดการ Organization Management
TOR: 5.7.8(5),(9)</t>
  </si>
  <si>
    <t>1. เปิด Organization Management และค้นหาหน่วยงานทดสอบ
2. เพิ่มหน่วยงานใหม่โดยกรอกชื่อ รหัส รายละเอียด และสถานะ
3. แก้ไขชื่อ/รายละเอียดแล้วบันทึก
4. ลบหน่วยงานที่ไม่มีความสัมพันธ์</t>
  </si>
  <si>
    <t>1. รายการและการค้นหาทำงานถูกต้อง
2. เพิ่มหน่วยงานและแสดงในรายการ
3. ข้อมูลที่แก้คงอยู่หลัง Refresh
4. ลบรายการที่ปลอดภัยได้</t>
  </si>
  <si>
    <t>ADM-013</t>
  </si>
  <si>
    <t>จัดการ Category Management
TOR: 5.7.2, 5.7.8(9)</t>
  </si>
  <si>
    <t>1. เปิด Category Management และค้นหาหมวดหมู่
2. เพิ่มหมวดหมู่ใหม่พร้อมชื่อ คำอธิบาย และสถานะ
3. แก้ไขข้อมูลแล้วตรวจใน Dataset filter
4. ลบหมวดหมู่ที่ไม่ถูกใช้</t>
  </si>
  <si>
    <t>1. รายการ/ค้นหาหมวดหมู่ถูกต้อง
2. เพิ่มและแก้ไขข้อมูลสำเร็จ
3. ชื่อใหม่แสดงในตัวกรอง Dataset
4. ลบรายการที่ไม่ถูกใช้ได้</t>
  </si>
  <si>
    <t>Status</t>
  </si>
  <si>
    <t>คำอธิบาย</t>
  </si>
  <si>
    <t>ยังไม่เริ่มทดสอบ</t>
  </si>
  <si>
    <t>กำลังดำเนินการทดสอบ</t>
  </si>
  <si>
    <t>ผลการทดสอบผ่าน</t>
  </si>
  <si>
    <t>ข้ามการทดสอบ</t>
  </si>
  <si>
    <t>ผลการทดสอบไม่ผ่าน</t>
  </si>
  <si>
    <t>ไม่สามารถทดสอบต่อได้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</si>
</sst>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1F2937"/>
      <name val="Aptos"/>
      <family val="2"/>
    </font>
    <font>
      <b/>
      <sz val="10"/>
      <color rgb="FFFFFFFF"/>
      <name val="Aptos Display"/>
      <family val="2"/>
    </font>
    <font>
      <b/>
      <sz val="10"/>
      <color rgb="FF1F4E78"/>
      <name val="Aptos"/>
      <family val="2"/>
    </font>
    <font>
      <b/>
      <sz val="18"/>
      <color rgb="FFFFFFFF"/>
      <name val="Aptos Display"/>
      <family val="2"/>
    </font>
    <font>
      <b/>
      <sz val="11"/>
      <color rgb="FFFFFFFF"/>
      <name val="Carlito"/>
    </font>
    <font>
      <b/>
      <sz val="11"/>
      <color rgb="FF1F4E78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medium">
        <color rgb="FF5B9BD5"/>
      </left>
      <right style="thin">
        <color rgb="FFD9E2F3"/>
      </right>
      <top style="medium">
        <color rgb="FF5B9BD5"/>
      </top>
      <bottom style="medium">
        <color rgb="FF5B9BD5"/>
      </bottom>
      <diagonal/>
    </border>
    <border>
      <left style="thin">
        <color rgb="FFD9E2F3"/>
      </left>
      <right style="thin">
        <color rgb="FFD9E2F3"/>
      </right>
      <top style="medium">
        <color rgb="FF5B9BD5"/>
      </top>
      <bottom style="medium">
        <color rgb="FF5B9BD5"/>
      </bottom>
      <diagonal/>
    </border>
    <border>
      <left style="thin">
        <color rgb="FFD9E2F3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top" wrapText="1"/>
    </xf>
    <xf numFmtId="0" fontId="5" fillId="4" borderId="1" xfId="1" applyFont="1" applyFill="1" applyBorder="1" applyAlignment="1">
      <alignment horizontal="center" vertical="center" wrapText="1"/>
    </xf>
    <xf numFmtId="0" fontId="0" fillId="0" borderId="1" xfId="1" applyFont="1" applyBorder="1"/>
    <xf numFmtId="0" fontId="0" fillId="0" borderId="1" xfId="1" applyFont="1" applyBorder="1" applyAlignment="1">
      <alignment vertical="center"/>
    </xf>
    <xf numFmtId="0" fontId="6" fillId="3" borderId="5" xfId="1" applyFont="1" applyFill="1" applyBorder="1" applyAlignment="1">
      <alignment vertical="center"/>
    </xf>
    <xf numFmtId="0" fontId="0" fillId="0" borderId="1" xfId="1" applyFont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5" fillId="2" borderId="1" xfId="1" applyFont="1" applyFill="1" applyBorder="1"/>
    <xf numFmtId="0" fontId="4" fillId="2" borderId="0" xfId="1" applyFont="1" applyFill="1" applyAlignment="1">
      <alignment vertical="center"/>
    </xf>
    <xf numFmtId="0" fontId="6" fillId="3" borderId="5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 wrapText="1"/>
    </xf>
    <xf numFmtId="0" fontId="3" fillId="3" borderId="3" xfId="1" applyFont="1" applyFill="1" applyBorder="1" applyAlignment="1">
      <alignment vertical="center" wrapText="1"/>
    </xf>
    <xf numFmtId="0" fontId="3" fillId="3" borderId="4" xfId="1" applyFont="1" applyFill="1" applyBorder="1" applyAlignment="1">
      <alignment vertical="center" wrapText="1"/>
    </xf>
  </cellXfs>
  <cellStyles count="2">
    <cellStyle name="ปกติ" xfId="0" builtinId="0"/>
    <cellStyle name="Normal" xfId="1" xr:uid="{00000000-0005-0000-0000-000000000000}"/>
  </cellStyles>
  <dxfs count="4">
    <dxf>
      <font>
        <color rgb="FF4C2C69"/>
      </font>
      <fill>
        <patternFill patternType="solid">
          <bgColor rgb="FFE4DFE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zoomScale="85" zoomScaleNormal="85" workbookViewId="0">
      <selection sqref="A1:J1"/>
    </sheetView>
  </sheetViews>
  <sheetFormatPr baseColWidth="10" defaultColWidth="8.83203125" defaultRowHeight="15"/>
  <cols>
    <col min="1" max="1" width="8" customWidth="1"/>
    <col min="2" max="2" width="45" customWidth="1"/>
    <col min="3" max="8" width="15" customWidth="1"/>
    <col min="9" max="9" width="12" customWidth="1"/>
    <col min="10" max="10" width="25" customWidth="1"/>
  </cols>
  <sheetData>
    <row r="1" spans="1:10" ht="3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5">
        <v>1</v>
      </c>
      <c r="B3" s="5" t="s">
        <v>11</v>
      </c>
      <c r="C3" s="7">
        <f>COUNTIFS('Data Exchange'!$B$2:$B$51,$B3,'Data Exchange'!$H$2:$H$51,$C$2)</f>
        <v>8</v>
      </c>
      <c r="D3" s="7">
        <f>COUNTIFS('Data Exchange'!$B$2:$B$51,$B3,'Data Exchange'!$H$2:$H$51,$D$2)</f>
        <v>0</v>
      </c>
      <c r="E3" s="7">
        <f>COUNTIFS('Data Exchange'!$B$2:$B$51,$B3,'Data Exchange'!$H$2:$H$51,$E$2)</f>
        <v>0</v>
      </c>
      <c r="F3" s="7">
        <f>COUNTIFS('Data Exchange'!$B$2:$B$51,$B3,'Data Exchange'!$H$2:$H$51,$F$2)</f>
        <v>0</v>
      </c>
      <c r="G3" s="7">
        <f>COUNTIFS('Data Exchange'!$B$2:$B$51,$B3,'Data Exchange'!$H$2:$H$51,$G$2)</f>
        <v>0</v>
      </c>
      <c r="H3" s="7">
        <f>COUNTIFS('Data Exchange'!$B$2:$B$51,$B3,'Data Exchange'!$H$2:$H$51,$H$2)</f>
        <v>0</v>
      </c>
      <c r="I3" s="7">
        <f>SUM(C3:H3)</f>
        <v>8</v>
      </c>
      <c r="J3" s="5"/>
    </row>
    <row r="4" spans="1:10">
      <c r="A4" s="5">
        <v>2</v>
      </c>
      <c r="B4" s="5" t="s">
        <v>12</v>
      </c>
      <c r="C4" s="7">
        <f>COUNTIFS('Data Exchange'!$B$2:$B$51,$B4,'Data Exchange'!$H$2:$H$51,$C$2)</f>
        <v>12</v>
      </c>
      <c r="D4" s="7">
        <f>COUNTIFS('Data Exchange'!$B$2:$B$51,$B4,'Data Exchange'!$H$2:$H$51,$D$2)</f>
        <v>0</v>
      </c>
      <c r="E4" s="7">
        <f>COUNTIFS('Data Exchange'!$B$2:$B$51,$B4,'Data Exchange'!$H$2:$H$51,$E$2)</f>
        <v>0</v>
      </c>
      <c r="F4" s="7">
        <f>COUNTIFS('Data Exchange'!$B$2:$B$51,$B4,'Data Exchange'!$H$2:$H$51,$F$2)</f>
        <v>0</v>
      </c>
      <c r="G4" s="7">
        <f>COUNTIFS('Data Exchange'!$B$2:$B$51,$B4,'Data Exchange'!$H$2:$H$51,$G$2)</f>
        <v>0</v>
      </c>
      <c r="H4" s="7">
        <f>COUNTIFS('Data Exchange'!$B$2:$B$51,$B4,'Data Exchange'!$H$2:$H$51,$H$2)</f>
        <v>0</v>
      </c>
      <c r="I4" s="7">
        <f>SUM(C4:H4)</f>
        <v>12</v>
      </c>
      <c r="J4" s="5"/>
    </row>
    <row r="5" spans="1:10">
      <c r="A5" s="5">
        <v>3</v>
      </c>
      <c r="B5" s="5" t="s">
        <v>13</v>
      </c>
      <c r="C5" s="7">
        <f>COUNTIFS('Data Exchange'!$B$2:$B$51,$B5,'Data Exchange'!$H$2:$H$51,$C$2)</f>
        <v>4</v>
      </c>
      <c r="D5" s="7">
        <f>COUNTIFS('Data Exchange'!$B$2:$B$51,$B5,'Data Exchange'!$H$2:$H$51,$D$2)</f>
        <v>0</v>
      </c>
      <c r="E5" s="7">
        <f>COUNTIFS('Data Exchange'!$B$2:$B$51,$B5,'Data Exchange'!$H$2:$H$51,$E$2)</f>
        <v>0</v>
      </c>
      <c r="F5" s="7">
        <f>COUNTIFS('Data Exchange'!$B$2:$B$51,$B5,'Data Exchange'!$H$2:$H$51,$F$2)</f>
        <v>0</v>
      </c>
      <c r="G5" s="7">
        <f>COUNTIFS('Data Exchange'!$B$2:$B$51,$B5,'Data Exchange'!$H$2:$H$51,$G$2)</f>
        <v>0</v>
      </c>
      <c r="H5" s="7">
        <f>COUNTIFS('Data Exchange'!$B$2:$B$51,$B5,'Data Exchange'!$H$2:$H$51,$H$2)</f>
        <v>0</v>
      </c>
      <c r="I5" s="7">
        <f>SUM(C5:H5)</f>
        <v>4</v>
      </c>
      <c r="J5" s="5"/>
    </row>
    <row r="6" spans="1:10">
      <c r="A6" s="5">
        <v>4</v>
      </c>
      <c r="B6" s="5" t="s">
        <v>14</v>
      </c>
      <c r="C6" s="7">
        <f>COUNTIFS('Data Exchange'!$B$2:$B$51,$B6,'Data Exchange'!$H$2:$H$51,$C$2)</f>
        <v>8</v>
      </c>
      <c r="D6" s="7">
        <f>COUNTIFS('Data Exchange'!$B$2:$B$51,$B6,'Data Exchange'!$H$2:$H$51,$D$2)</f>
        <v>0</v>
      </c>
      <c r="E6" s="7">
        <f>COUNTIFS('Data Exchange'!$B$2:$B$51,$B6,'Data Exchange'!$H$2:$H$51,$E$2)</f>
        <v>0</v>
      </c>
      <c r="F6" s="7">
        <f>COUNTIFS('Data Exchange'!$B$2:$B$51,$B6,'Data Exchange'!$H$2:$H$51,$F$2)</f>
        <v>0</v>
      </c>
      <c r="G6" s="7">
        <f>COUNTIFS('Data Exchange'!$B$2:$B$51,$B6,'Data Exchange'!$H$2:$H$51,$G$2)</f>
        <v>0</v>
      </c>
      <c r="H6" s="7">
        <f>COUNTIFS('Data Exchange'!$B$2:$B$51,$B6,'Data Exchange'!$H$2:$H$51,$H$2)</f>
        <v>0</v>
      </c>
      <c r="I6" s="7">
        <f>SUM(C6:H6)</f>
        <v>8</v>
      </c>
      <c r="J6" s="5"/>
    </row>
    <row r="7" spans="1:10">
      <c r="A7" s="5">
        <v>5</v>
      </c>
      <c r="B7" s="5" t="s">
        <v>15</v>
      </c>
      <c r="C7" s="7">
        <f>COUNTIFS('Data Exchange'!$B$2:$B$51,$B7,'Data Exchange'!$H$2:$H$51,$C$2)</f>
        <v>13</v>
      </c>
      <c r="D7" s="7">
        <f>COUNTIFS('Data Exchange'!$B$2:$B$51,$B7,'Data Exchange'!$H$2:$H$51,$D$2)</f>
        <v>0</v>
      </c>
      <c r="E7" s="7">
        <f>COUNTIFS('Data Exchange'!$B$2:$B$51,$B7,'Data Exchange'!$H$2:$H$51,$E$2)</f>
        <v>0</v>
      </c>
      <c r="F7" s="7">
        <f>COUNTIFS('Data Exchange'!$B$2:$B$51,$B7,'Data Exchange'!$H$2:$H$51,$F$2)</f>
        <v>0</v>
      </c>
      <c r="G7" s="7">
        <f>COUNTIFS('Data Exchange'!$B$2:$B$51,$B7,'Data Exchange'!$H$2:$H$51,$G$2)</f>
        <v>0</v>
      </c>
      <c r="H7" s="7">
        <f>COUNTIFS('Data Exchange'!$B$2:$B$51,$B7,'Data Exchange'!$H$2:$H$51,$H$2)</f>
        <v>0</v>
      </c>
      <c r="I7" s="7">
        <f>SUM(C7:H7)</f>
        <v>13</v>
      </c>
      <c r="J7" s="5"/>
    </row>
    <row r="8" spans="1:10">
      <c r="A8" s="11" t="s">
        <v>16</v>
      </c>
      <c r="B8" s="11"/>
      <c r="C8" s="8">
        <f t="shared" ref="C8:I8" si="0">SUM(C3:C7)</f>
        <v>45</v>
      </c>
      <c r="D8" s="8">
        <f t="shared" si="0"/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45</v>
      </c>
      <c r="J8" s="6"/>
    </row>
  </sheetData>
  <mergeCells count="2">
    <mergeCell ref="A1:J1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showGridLines="0" tabSelected="1" topLeftCell="E45" workbookViewId="0">
      <selection activeCell="H51" sqref="H51"/>
    </sheetView>
  </sheetViews>
  <sheetFormatPr baseColWidth="10" defaultColWidth="8.83203125" defaultRowHeight="15"/>
  <cols>
    <col min="1" max="1" width="20" customWidth="1"/>
    <col min="2" max="2" width="28" customWidth="1"/>
    <col min="3" max="3" width="44" customWidth="1"/>
    <col min="4" max="4" width="20" customWidth="1"/>
    <col min="5" max="5" width="22" customWidth="1"/>
    <col min="6" max="6" width="62" customWidth="1"/>
    <col min="7" max="7" width="58" customWidth="1"/>
    <col min="8" max="8" width="20" customWidth="1"/>
    <col min="9" max="11" width="18" customWidth="1"/>
    <col min="12" max="12" width="30" customWidth="1"/>
  </cols>
  <sheetData>
    <row r="1" spans="1:12" ht="36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10</v>
      </c>
    </row>
    <row r="2" spans="1:12" ht="34" customHeight="1">
      <c r="A2" s="12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ht="60">
      <c r="A3" s="2" t="s">
        <v>29</v>
      </c>
      <c r="B3" s="2" t="s">
        <v>11</v>
      </c>
      <c r="C3" s="2" t="s">
        <v>30</v>
      </c>
      <c r="D3" s="2"/>
      <c r="E3" s="2"/>
      <c r="F3" s="2" t="s">
        <v>31</v>
      </c>
      <c r="G3" s="2" t="s">
        <v>32</v>
      </c>
      <c r="H3" s="2" t="s">
        <v>3</v>
      </c>
      <c r="I3" s="2"/>
      <c r="J3" s="2"/>
      <c r="K3" s="2"/>
      <c r="L3" s="2"/>
    </row>
    <row r="4" spans="1:12" ht="75">
      <c r="A4" s="2" t="s">
        <v>33</v>
      </c>
      <c r="B4" s="2" t="s">
        <v>11</v>
      </c>
      <c r="C4" s="2" t="s">
        <v>34</v>
      </c>
      <c r="D4" s="2"/>
      <c r="E4" s="2"/>
      <c r="F4" s="2" t="s">
        <v>35</v>
      </c>
      <c r="G4" s="2" t="s">
        <v>36</v>
      </c>
      <c r="H4" s="2" t="s">
        <v>3</v>
      </c>
      <c r="I4" s="2"/>
      <c r="J4" s="2"/>
      <c r="K4" s="2"/>
      <c r="L4" s="2"/>
    </row>
    <row r="5" spans="1:12" ht="90">
      <c r="A5" s="2" t="s">
        <v>37</v>
      </c>
      <c r="B5" s="2" t="s">
        <v>11</v>
      </c>
      <c r="C5" s="2" t="s">
        <v>38</v>
      </c>
      <c r="D5" s="2"/>
      <c r="E5" s="2"/>
      <c r="F5" s="2" t="s">
        <v>39</v>
      </c>
      <c r="G5" s="2" t="s">
        <v>40</v>
      </c>
      <c r="H5" s="2" t="s">
        <v>3</v>
      </c>
      <c r="I5" s="2"/>
      <c r="J5" s="2"/>
      <c r="K5" s="2"/>
      <c r="L5" s="2"/>
    </row>
    <row r="6" spans="1:12" ht="60">
      <c r="A6" s="2" t="s">
        <v>41</v>
      </c>
      <c r="B6" s="2" t="s">
        <v>11</v>
      </c>
      <c r="C6" s="2" t="s">
        <v>42</v>
      </c>
      <c r="D6" s="2"/>
      <c r="E6" s="2"/>
      <c r="F6" s="2" t="s">
        <v>43</v>
      </c>
      <c r="G6" s="2" t="s">
        <v>44</v>
      </c>
      <c r="H6" s="2" t="s">
        <v>3</v>
      </c>
      <c r="I6" s="2"/>
      <c r="J6" s="2"/>
      <c r="K6" s="2"/>
      <c r="L6" s="2"/>
    </row>
    <row r="7" spans="1:12" ht="75">
      <c r="A7" s="2" t="s">
        <v>45</v>
      </c>
      <c r="B7" s="2" t="s">
        <v>11</v>
      </c>
      <c r="C7" s="2" t="s">
        <v>46</v>
      </c>
      <c r="D7" s="2"/>
      <c r="E7" s="2"/>
      <c r="F7" s="2" t="s">
        <v>47</v>
      </c>
      <c r="G7" s="2" t="s">
        <v>48</v>
      </c>
      <c r="H7" s="2" t="s">
        <v>3</v>
      </c>
      <c r="I7" s="2"/>
      <c r="J7" s="2"/>
      <c r="K7" s="2"/>
      <c r="L7" s="2"/>
    </row>
    <row r="8" spans="1:12" ht="75">
      <c r="A8" s="2" t="s">
        <v>49</v>
      </c>
      <c r="B8" s="2" t="s">
        <v>11</v>
      </c>
      <c r="C8" s="2" t="s">
        <v>50</v>
      </c>
      <c r="D8" s="2"/>
      <c r="E8" s="2"/>
      <c r="F8" s="2" t="s">
        <v>51</v>
      </c>
      <c r="G8" s="2" t="s">
        <v>52</v>
      </c>
      <c r="H8" s="2" t="s">
        <v>3</v>
      </c>
      <c r="I8" s="2"/>
      <c r="J8" s="2"/>
      <c r="K8" s="2"/>
      <c r="L8" s="2"/>
    </row>
    <row r="9" spans="1:12" ht="75">
      <c r="A9" s="2" t="s">
        <v>53</v>
      </c>
      <c r="B9" s="2" t="s">
        <v>11</v>
      </c>
      <c r="C9" s="2" t="s">
        <v>54</v>
      </c>
      <c r="D9" s="2"/>
      <c r="E9" s="2"/>
      <c r="F9" s="2" t="s">
        <v>55</v>
      </c>
      <c r="G9" s="2" t="s">
        <v>56</v>
      </c>
      <c r="H9" s="2" t="s">
        <v>3</v>
      </c>
      <c r="I9" s="2"/>
      <c r="J9" s="2"/>
      <c r="K9" s="2"/>
      <c r="L9" s="2"/>
    </row>
    <row r="10" spans="1:12" ht="75">
      <c r="A10" s="2" t="s">
        <v>57</v>
      </c>
      <c r="B10" s="2" t="s">
        <v>11</v>
      </c>
      <c r="C10" s="2" t="s">
        <v>58</v>
      </c>
      <c r="D10" s="2"/>
      <c r="E10" s="2"/>
      <c r="F10" s="2" t="s">
        <v>59</v>
      </c>
      <c r="G10" s="2" t="s">
        <v>60</v>
      </c>
      <c r="H10" s="2" t="s">
        <v>3</v>
      </c>
      <c r="I10" s="2"/>
      <c r="J10" s="2"/>
      <c r="K10" s="2"/>
      <c r="L10" s="2"/>
    </row>
    <row r="11" spans="1:12" ht="34" customHeight="1">
      <c r="A11" s="12" t="s">
        <v>61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</row>
    <row r="12" spans="1:12" ht="75">
      <c r="A12" s="2" t="s">
        <v>62</v>
      </c>
      <c r="B12" s="2" t="s">
        <v>12</v>
      </c>
      <c r="C12" s="2" t="s">
        <v>63</v>
      </c>
      <c r="D12" s="2"/>
      <c r="E12" s="2"/>
      <c r="F12" s="2" t="s">
        <v>64</v>
      </c>
      <c r="G12" s="2" t="s">
        <v>44</v>
      </c>
      <c r="H12" s="2" t="s">
        <v>3</v>
      </c>
      <c r="I12" s="2"/>
      <c r="J12" s="2"/>
      <c r="K12" s="2"/>
      <c r="L12" s="2"/>
    </row>
    <row r="13" spans="1:12" ht="75">
      <c r="A13" s="2" t="s">
        <v>65</v>
      </c>
      <c r="B13" s="2" t="s">
        <v>12</v>
      </c>
      <c r="C13" s="2" t="s">
        <v>66</v>
      </c>
      <c r="D13" s="2"/>
      <c r="E13" s="2"/>
      <c r="F13" s="2" t="s">
        <v>67</v>
      </c>
      <c r="G13" s="2" t="s">
        <v>68</v>
      </c>
      <c r="H13" s="2" t="s">
        <v>3</v>
      </c>
      <c r="I13" s="2"/>
      <c r="J13" s="2"/>
      <c r="K13" s="2"/>
      <c r="L13" s="2"/>
    </row>
    <row r="14" spans="1:12" ht="75">
      <c r="A14" s="2" t="s">
        <v>69</v>
      </c>
      <c r="B14" s="2" t="s">
        <v>12</v>
      </c>
      <c r="C14" s="2" t="s">
        <v>70</v>
      </c>
      <c r="D14" s="2"/>
      <c r="E14" s="2"/>
      <c r="F14" s="2" t="s">
        <v>71</v>
      </c>
      <c r="G14" s="2" t="s">
        <v>72</v>
      </c>
      <c r="H14" s="2" t="s">
        <v>3</v>
      </c>
      <c r="I14" s="2"/>
      <c r="J14" s="2"/>
      <c r="K14" s="2"/>
      <c r="L14" s="2"/>
    </row>
    <row r="15" spans="1:12" ht="75">
      <c r="A15" s="2" t="s">
        <v>73</v>
      </c>
      <c r="B15" s="2" t="s">
        <v>12</v>
      </c>
      <c r="C15" s="2" t="s">
        <v>74</v>
      </c>
      <c r="D15" s="2"/>
      <c r="E15" s="2"/>
      <c r="F15" s="2" t="s">
        <v>75</v>
      </c>
      <c r="G15" s="2" t="s">
        <v>76</v>
      </c>
      <c r="H15" s="2" t="s">
        <v>3</v>
      </c>
      <c r="I15" s="2"/>
      <c r="J15" s="2"/>
      <c r="K15" s="2"/>
      <c r="L15" s="2"/>
    </row>
    <row r="16" spans="1:12" ht="60">
      <c r="A16" s="2" t="s">
        <v>77</v>
      </c>
      <c r="B16" s="2" t="s">
        <v>12</v>
      </c>
      <c r="C16" s="2" t="s">
        <v>78</v>
      </c>
      <c r="D16" s="2"/>
      <c r="E16" s="2"/>
      <c r="F16" s="2" t="s">
        <v>79</v>
      </c>
      <c r="G16" s="2" t="s">
        <v>80</v>
      </c>
      <c r="H16" s="2" t="s">
        <v>3</v>
      </c>
      <c r="I16" s="2"/>
      <c r="J16" s="2"/>
      <c r="K16" s="2"/>
      <c r="L16" s="2"/>
    </row>
    <row r="17" spans="1:12" ht="60">
      <c r="A17" s="2" t="s">
        <v>81</v>
      </c>
      <c r="B17" s="2" t="s">
        <v>12</v>
      </c>
      <c r="C17" s="2" t="s">
        <v>82</v>
      </c>
      <c r="D17" s="2"/>
      <c r="E17" s="2"/>
      <c r="F17" s="2" t="s">
        <v>83</v>
      </c>
      <c r="G17" s="2" t="s">
        <v>84</v>
      </c>
      <c r="H17" s="2" t="s">
        <v>3</v>
      </c>
      <c r="I17" s="2"/>
      <c r="J17" s="2"/>
      <c r="K17" s="2"/>
      <c r="L17" s="2"/>
    </row>
    <row r="18" spans="1:12" ht="45">
      <c r="A18" s="2" t="s">
        <v>85</v>
      </c>
      <c r="B18" s="2" t="s">
        <v>12</v>
      </c>
      <c r="C18" s="2" t="s">
        <v>86</v>
      </c>
      <c r="D18" s="2"/>
      <c r="E18" s="2"/>
      <c r="F18" s="2" t="s">
        <v>87</v>
      </c>
      <c r="G18" s="2" t="s">
        <v>88</v>
      </c>
      <c r="H18" s="2" t="s">
        <v>3</v>
      </c>
      <c r="I18" s="2"/>
      <c r="J18" s="2"/>
      <c r="K18" s="2"/>
      <c r="L18" s="2"/>
    </row>
    <row r="19" spans="1:12" ht="75">
      <c r="A19" s="2" t="s">
        <v>89</v>
      </c>
      <c r="B19" s="2" t="s">
        <v>12</v>
      </c>
      <c r="C19" s="2" t="s">
        <v>90</v>
      </c>
      <c r="D19" s="2"/>
      <c r="E19" s="2"/>
      <c r="F19" s="2" t="s">
        <v>91</v>
      </c>
      <c r="G19" s="2" t="s">
        <v>92</v>
      </c>
      <c r="H19" s="2" t="s">
        <v>3</v>
      </c>
      <c r="I19" s="2"/>
      <c r="J19" s="2"/>
      <c r="K19" s="2"/>
      <c r="L19" s="2"/>
    </row>
    <row r="20" spans="1:12" ht="60">
      <c r="A20" s="2" t="s">
        <v>93</v>
      </c>
      <c r="B20" s="2" t="s">
        <v>12</v>
      </c>
      <c r="C20" s="2" t="s">
        <v>94</v>
      </c>
      <c r="D20" s="2"/>
      <c r="E20" s="2"/>
      <c r="F20" s="2" t="s">
        <v>95</v>
      </c>
      <c r="G20" s="2" t="s">
        <v>96</v>
      </c>
      <c r="H20" s="2" t="s">
        <v>3</v>
      </c>
      <c r="I20" s="2"/>
      <c r="J20" s="2"/>
      <c r="K20" s="2"/>
      <c r="L20" s="2"/>
    </row>
    <row r="21" spans="1:12" ht="60">
      <c r="A21" s="2" t="s">
        <v>97</v>
      </c>
      <c r="B21" s="2" t="s">
        <v>12</v>
      </c>
      <c r="C21" s="2" t="s">
        <v>98</v>
      </c>
      <c r="D21" s="2"/>
      <c r="E21" s="2"/>
      <c r="F21" s="2" t="s">
        <v>99</v>
      </c>
      <c r="G21" s="2" t="s">
        <v>100</v>
      </c>
      <c r="H21" s="2" t="s">
        <v>3</v>
      </c>
      <c r="I21" s="2"/>
      <c r="J21" s="2"/>
      <c r="K21" s="2"/>
      <c r="L21" s="2"/>
    </row>
    <row r="22" spans="1:12" ht="75">
      <c r="A22" s="2" t="s">
        <v>101</v>
      </c>
      <c r="B22" s="2" t="s">
        <v>12</v>
      </c>
      <c r="C22" s="2" t="s">
        <v>102</v>
      </c>
      <c r="D22" s="2"/>
      <c r="E22" s="2"/>
      <c r="F22" s="2" t="s">
        <v>103</v>
      </c>
      <c r="G22" s="2" t="s">
        <v>104</v>
      </c>
      <c r="H22" s="2" t="s">
        <v>3</v>
      </c>
      <c r="I22" s="2"/>
      <c r="J22" s="2"/>
      <c r="K22" s="2"/>
      <c r="L22" s="2"/>
    </row>
    <row r="23" spans="1:12" ht="60">
      <c r="A23" s="2" t="s">
        <v>105</v>
      </c>
      <c r="B23" s="2" t="s">
        <v>12</v>
      </c>
      <c r="C23" s="2" t="s">
        <v>94</v>
      </c>
      <c r="D23" s="2"/>
      <c r="E23" s="2"/>
      <c r="F23" s="2" t="s">
        <v>106</v>
      </c>
      <c r="G23" s="2" t="s">
        <v>96</v>
      </c>
      <c r="H23" s="2" t="s">
        <v>3</v>
      </c>
      <c r="I23" s="2"/>
      <c r="J23" s="2"/>
      <c r="K23" s="2"/>
      <c r="L23" s="2"/>
    </row>
    <row r="24" spans="1:12" ht="34" customHeight="1">
      <c r="A24" s="12" t="s">
        <v>107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ht="60">
      <c r="A25" s="2" t="s">
        <v>108</v>
      </c>
      <c r="B25" s="2" t="s">
        <v>13</v>
      </c>
      <c r="C25" s="2" t="s">
        <v>109</v>
      </c>
      <c r="D25" s="2"/>
      <c r="E25" s="2"/>
      <c r="F25" s="2" t="s">
        <v>110</v>
      </c>
      <c r="G25" s="2" t="s">
        <v>111</v>
      </c>
      <c r="H25" s="2" t="s">
        <v>3</v>
      </c>
      <c r="I25" s="2"/>
      <c r="J25" s="2"/>
      <c r="K25" s="2"/>
      <c r="L25" s="2"/>
    </row>
    <row r="26" spans="1:12" ht="45">
      <c r="A26" s="2" t="s">
        <v>112</v>
      </c>
      <c r="B26" s="2" t="s">
        <v>13</v>
      </c>
      <c r="C26" s="2" t="s">
        <v>113</v>
      </c>
      <c r="D26" s="2"/>
      <c r="E26" s="2"/>
      <c r="F26" s="2" t="s">
        <v>114</v>
      </c>
      <c r="G26" s="2" t="s">
        <v>115</v>
      </c>
      <c r="H26" s="2" t="s">
        <v>3</v>
      </c>
      <c r="I26" s="2"/>
      <c r="J26" s="2"/>
      <c r="K26" s="2"/>
      <c r="L26" s="2"/>
    </row>
    <row r="27" spans="1:12" ht="30">
      <c r="A27" s="2" t="s">
        <v>116</v>
      </c>
      <c r="B27" s="2" t="s">
        <v>13</v>
      </c>
      <c r="C27" s="2" t="s">
        <v>117</v>
      </c>
      <c r="D27" s="2"/>
      <c r="E27" s="2"/>
      <c r="F27" s="2" t="s">
        <v>118</v>
      </c>
      <c r="G27" s="2" t="s">
        <v>119</v>
      </c>
      <c r="H27" s="2" t="s">
        <v>3</v>
      </c>
      <c r="I27" s="2"/>
      <c r="J27" s="2"/>
      <c r="K27" s="2"/>
      <c r="L27" s="2"/>
    </row>
    <row r="28" spans="1:12" ht="30">
      <c r="A28" s="2" t="s">
        <v>120</v>
      </c>
      <c r="B28" s="2" t="s">
        <v>13</v>
      </c>
      <c r="C28" s="2" t="s">
        <v>121</v>
      </c>
      <c r="D28" s="2"/>
      <c r="E28" s="2"/>
      <c r="F28" s="2" t="s">
        <v>122</v>
      </c>
      <c r="G28" s="2" t="s">
        <v>123</v>
      </c>
      <c r="H28" s="2" t="s">
        <v>3</v>
      </c>
      <c r="I28" s="2"/>
      <c r="J28" s="2"/>
      <c r="K28" s="2"/>
      <c r="L28" s="2"/>
    </row>
    <row r="29" spans="1:12" ht="34" customHeight="1">
      <c r="A29" s="12" t="s">
        <v>124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</row>
    <row r="30" spans="1:12" ht="75">
      <c r="A30" s="2" t="s">
        <v>125</v>
      </c>
      <c r="B30" s="2" t="s">
        <v>14</v>
      </c>
      <c r="C30" s="2" t="s">
        <v>63</v>
      </c>
      <c r="D30" s="2"/>
      <c r="E30" s="2"/>
      <c r="F30" s="2" t="s">
        <v>64</v>
      </c>
      <c r="G30" s="2" t="s">
        <v>44</v>
      </c>
      <c r="H30" s="2" t="s">
        <v>3</v>
      </c>
      <c r="I30" s="2"/>
      <c r="J30" s="2"/>
      <c r="K30" s="2"/>
      <c r="L30" s="2"/>
    </row>
    <row r="31" spans="1:12" ht="75">
      <c r="A31" s="2" t="s">
        <v>126</v>
      </c>
      <c r="B31" s="2" t="s">
        <v>14</v>
      </c>
      <c r="C31" s="2" t="s">
        <v>127</v>
      </c>
      <c r="D31" s="2"/>
      <c r="E31" s="2"/>
      <c r="F31" s="2" t="s">
        <v>128</v>
      </c>
      <c r="G31" s="2" t="s">
        <v>129</v>
      </c>
      <c r="H31" s="2" t="s">
        <v>3</v>
      </c>
      <c r="I31" s="2"/>
      <c r="J31" s="2"/>
      <c r="K31" s="2"/>
      <c r="L31" s="2"/>
    </row>
    <row r="32" spans="1:12" ht="30">
      <c r="A32" s="2" t="s">
        <v>130</v>
      </c>
      <c r="B32" s="2" t="s">
        <v>14</v>
      </c>
      <c r="C32" s="2" t="s">
        <v>131</v>
      </c>
      <c r="D32" s="2"/>
      <c r="E32" s="2"/>
      <c r="F32" s="2" t="s">
        <v>132</v>
      </c>
      <c r="G32" s="2" t="s">
        <v>133</v>
      </c>
      <c r="H32" s="2" t="s">
        <v>3</v>
      </c>
      <c r="I32" s="2"/>
      <c r="J32" s="2"/>
      <c r="K32" s="2"/>
      <c r="L32" s="2"/>
    </row>
    <row r="33" spans="1:12" ht="45">
      <c r="A33" s="2" t="s">
        <v>134</v>
      </c>
      <c r="B33" s="2" t="s">
        <v>14</v>
      </c>
      <c r="C33" s="2" t="s">
        <v>135</v>
      </c>
      <c r="D33" s="2"/>
      <c r="E33" s="2"/>
      <c r="F33" s="2" t="s">
        <v>136</v>
      </c>
      <c r="G33" s="2" t="s">
        <v>137</v>
      </c>
      <c r="H33" s="2" t="s">
        <v>3</v>
      </c>
      <c r="I33" s="2"/>
      <c r="J33" s="2"/>
      <c r="K33" s="2"/>
      <c r="L33" s="2"/>
    </row>
    <row r="34" spans="1:12" ht="75">
      <c r="A34" s="2" t="s">
        <v>138</v>
      </c>
      <c r="B34" s="2" t="s">
        <v>14</v>
      </c>
      <c r="C34" s="2" t="s">
        <v>139</v>
      </c>
      <c r="D34" s="2"/>
      <c r="E34" s="2"/>
      <c r="F34" s="2" t="s">
        <v>140</v>
      </c>
      <c r="G34" s="2" t="s">
        <v>141</v>
      </c>
      <c r="H34" s="2" t="s">
        <v>3</v>
      </c>
      <c r="I34" s="2"/>
      <c r="J34" s="2"/>
      <c r="K34" s="2"/>
      <c r="L34" s="2"/>
    </row>
    <row r="35" spans="1:12" ht="75">
      <c r="A35" s="2" t="s">
        <v>142</v>
      </c>
      <c r="B35" s="2" t="s">
        <v>14</v>
      </c>
      <c r="C35" s="2" t="s">
        <v>143</v>
      </c>
      <c r="D35" s="2"/>
      <c r="E35" s="2"/>
      <c r="F35" s="2" t="s">
        <v>144</v>
      </c>
      <c r="G35" s="2" t="s">
        <v>145</v>
      </c>
      <c r="H35" s="2" t="s">
        <v>3</v>
      </c>
      <c r="I35" s="2"/>
      <c r="J35" s="2"/>
      <c r="K35" s="2"/>
      <c r="L35" s="2"/>
    </row>
    <row r="36" spans="1:12" ht="60">
      <c r="A36" s="2" t="s">
        <v>146</v>
      </c>
      <c r="B36" s="2" t="s">
        <v>14</v>
      </c>
      <c r="C36" s="2" t="s">
        <v>147</v>
      </c>
      <c r="D36" s="2"/>
      <c r="E36" s="2"/>
      <c r="F36" s="2" t="s">
        <v>148</v>
      </c>
      <c r="G36" s="2" t="s">
        <v>149</v>
      </c>
      <c r="H36" s="2" t="s">
        <v>3</v>
      </c>
      <c r="I36" s="2"/>
      <c r="J36" s="2"/>
      <c r="K36" s="2"/>
      <c r="L36" s="2"/>
    </row>
    <row r="37" spans="1:12" ht="75">
      <c r="A37" s="2" t="s">
        <v>150</v>
      </c>
      <c r="B37" s="2" t="s">
        <v>14</v>
      </c>
      <c r="C37" s="2" t="s">
        <v>151</v>
      </c>
      <c r="D37" s="2"/>
      <c r="E37" s="2"/>
      <c r="F37" s="2" t="s">
        <v>152</v>
      </c>
      <c r="G37" s="2" t="s">
        <v>153</v>
      </c>
      <c r="H37" s="2" t="s">
        <v>3</v>
      </c>
      <c r="I37" s="2"/>
      <c r="J37" s="2"/>
      <c r="K37" s="2"/>
      <c r="L37" s="2"/>
    </row>
    <row r="38" spans="1:12" ht="34" customHeight="1">
      <c r="A38" s="12" t="s">
        <v>154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39" spans="1:12" ht="75">
      <c r="A39" s="2" t="s">
        <v>155</v>
      </c>
      <c r="B39" s="2" t="s">
        <v>15</v>
      </c>
      <c r="C39" s="2" t="s">
        <v>63</v>
      </c>
      <c r="D39" s="2"/>
      <c r="E39" s="2"/>
      <c r="F39" s="2" t="s">
        <v>64</v>
      </c>
      <c r="G39" s="2" t="s">
        <v>44</v>
      </c>
      <c r="H39" s="2" t="s">
        <v>3</v>
      </c>
      <c r="I39" s="2"/>
      <c r="J39" s="2"/>
      <c r="K39" s="2"/>
      <c r="L39" s="2"/>
    </row>
    <row r="40" spans="1:12" ht="120">
      <c r="A40" s="2" t="s">
        <v>156</v>
      </c>
      <c r="B40" s="2" t="s">
        <v>15</v>
      </c>
      <c r="C40" s="2" t="s">
        <v>157</v>
      </c>
      <c r="D40" s="2"/>
      <c r="E40" s="2"/>
      <c r="F40" s="2" t="s">
        <v>158</v>
      </c>
      <c r="G40" s="2" t="s">
        <v>159</v>
      </c>
      <c r="H40" s="2" t="s">
        <v>3</v>
      </c>
      <c r="I40" s="2"/>
      <c r="J40" s="2"/>
      <c r="K40" s="2"/>
      <c r="L40" s="2"/>
    </row>
    <row r="41" spans="1:12" ht="45">
      <c r="A41" s="2" t="s">
        <v>160</v>
      </c>
      <c r="B41" s="2" t="s">
        <v>15</v>
      </c>
      <c r="C41" s="2" t="s">
        <v>161</v>
      </c>
      <c r="D41" s="2"/>
      <c r="E41" s="2"/>
      <c r="F41" s="2" t="s">
        <v>162</v>
      </c>
      <c r="G41" s="2" t="s">
        <v>163</v>
      </c>
      <c r="H41" s="2" t="s">
        <v>3</v>
      </c>
      <c r="I41" s="2"/>
      <c r="J41" s="2"/>
      <c r="K41" s="2"/>
      <c r="L41" s="2"/>
    </row>
    <row r="42" spans="1:12" ht="75">
      <c r="A42" s="2" t="s">
        <v>164</v>
      </c>
      <c r="B42" s="2" t="s">
        <v>15</v>
      </c>
      <c r="C42" s="2" t="s">
        <v>165</v>
      </c>
      <c r="D42" s="2"/>
      <c r="E42" s="2"/>
      <c r="F42" s="2" t="s">
        <v>166</v>
      </c>
      <c r="G42" s="2" t="s">
        <v>167</v>
      </c>
      <c r="H42" s="2" t="s">
        <v>3</v>
      </c>
      <c r="I42" s="2"/>
      <c r="J42" s="2"/>
      <c r="K42" s="2"/>
      <c r="L42" s="2"/>
    </row>
    <row r="43" spans="1:12" ht="60">
      <c r="A43" s="2" t="s">
        <v>168</v>
      </c>
      <c r="B43" s="2" t="s">
        <v>15</v>
      </c>
      <c r="C43" s="2" t="s">
        <v>169</v>
      </c>
      <c r="D43" s="2"/>
      <c r="E43" s="2"/>
      <c r="F43" s="2" t="s">
        <v>170</v>
      </c>
      <c r="G43" s="2" t="s">
        <v>171</v>
      </c>
      <c r="H43" s="2" t="s">
        <v>3</v>
      </c>
      <c r="I43" s="2"/>
      <c r="J43" s="2"/>
      <c r="K43" s="2"/>
      <c r="L43" s="2"/>
    </row>
    <row r="44" spans="1:12" ht="45">
      <c r="A44" s="2" t="s">
        <v>172</v>
      </c>
      <c r="B44" s="2" t="s">
        <v>15</v>
      </c>
      <c r="C44" s="2" t="s">
        <v>173</v>
      </c>
      <c r="D44" s="2"/>
      <c r="E44" s="2"/>
      <c r="F44" s="2" t="s">
        <v>174</v>
      </c>
      <c r="G44" s="2" t="s">
        <v>175</v>
      </c>
      <c r="H44" s="2" t="s">
        <v>3</v>
      </c>
      <c r="I44" s="2"/>
      <c r="J44" s="2"/>
      <c r="K44" s="2"/>
      <c r="L44" s="2"/>
    </row>
    <row r="45" spans="1:12" ht="75">
      <c r="A45" s="2" t="s">
        <v>176</v>
      </c>
      <c r="B45" s="2" t="s">
        <v>15</v>
      </c>
      <c r="C45" s="2" t="s">
        <v>177</v>
      </c>
      <c r="D45" s="2"/>
      <c r="E45" s="2"/>
      <c r="F45" s="2" t="s">
        <v>178</v>
      </c>
      <c r="G45" s="2" t="s">
        <v>179</v>
      </c>
      <c r="H45" s="2" t="s">
        <v>3</v>
      </c>
      <c r="I45" s="2"/>
      <c r="J45" s="2"/>
      <c r="K45" s="2"/>
      <c r="L45" s="2"/>
    </row>
    <row r="46" spans="1:12" ht="75">
      <c r="A46" s="2" t="s">
        <v>180</v>
      </c>
      <c r="B46" s="2" t="s">
        <v>15</v>
      </c>
      <c r="C46" s="2" t="s">
        <v>181</v>
      </c>
      <c r="D46" s="2"/>
      <c r="E46" s="2"/>
      <c r="F46" s="2" t="s">
        <v>182</v>
      </c>
      <c r="G46" s="2" t="s">
        <v>183</v>
      </c>
      <c r="H46" s="2" t="s">
        <v>3</v>
      </c>
      <c r="I46" s="2"/>
      <c r="J46" s="2"/>
      <c r="K46" s="2"/>
      <c r="L46" s="2"/>
    </row>
    <row r="47" spans="1:12" ht="75">
      <c r="A47" s="2" t="s">
        <v>184</v>
      </c>
      <c r="B47" s="2" t="s">
        <v>15</v>
      </c>
      <c r="C47" s="2" t="s">
        <v>185</v>
      </c>
      <c r="D47" s="2"/>
      <c r="E47" s="2"/>
      <c r="F47" s="2" t="s">
        <v>186</v>
      </c>
      <c r="G47" s="2" t="s">
        <v>187</v>
      </c>
      <c r="H47" s="2" t="s">
        <v>3</v>
      </c>
      <c r="I47" s="2"/>
      <c r="J47" s="2"/>
      <c r="K47" s="2"/>
      <c r="L47" s="2"/>
    </row>
    <row r="48" spans="1:12" ht="75">
      <c r="A48" s="2" t="s">
        <v>188</v>
      </c>
      <c r="B48" s="2" t="s">
        <v>15</v>
      </c>
      <c r="C48" s="2" t="s">
        <v>189</v>
      </c>
      <c r="D48" s="2"/>
      <c r="E48" s="2"/>
      <c r="F48" s="2" t="s">
        <v>190</v>
      </c>
      <c r="G48" s="2" t="s">
        <v>191</v>
      </c>
      <c r="H48" s="2" t="s">
        <v>3</v>
      </c>
      <c r="I48" s="2"/>
      <c r="J48" s="2"/>
      <c r="K48" s="2"/>
      <c r="L48" s="2"/>
    </row>
    <row r="49" spans="1:12" ht="30">
      <c r="A49" s="2" t="s">
        <v>192</v>
      </c>
      <c r="B49" s="2" t="s">
        <v>15</v>
      </c>
      <c r="C49" s="2" t="s">
        <v>193</v>
      </c>
      <c r="D49" s="2"/>
      <c r="E49" s="2"/>
      <c r="F49" s="2" t="s">
        <v>194</v>
      </c>
      <c r="G49" s="2" t="s">
        <v>195</v>
      </c>
      <c r="H49" s="2" t="s">
        <v>3</v>
      </c>
      <c r="I49" s="2"/>
      <c r="J49" s="2"/>
      <c r="K49" s="2"/>
      <c r="L49" s="2"/>
    </row>
    <row r="50" spans="1:12" ht="60">
      <c r="A50" s="2" t="s">
        <v>196</v>
      </c>
      <c r="B50" s="2" t="s">
        <v>15</v>
      </c>
      <c r="C50" s="2" t="s">
        <v>197</v>
      </c>
      <c r="D50" s="2"/>
      <c r="E50" s="2"/>
      <c r="F50" s="2" t="s">
        <v>198</v>
      </c>
      <c r="G50" s="2" t="s">
        <v>199</v>
      </c>
      <c r="H50" s="2" t="s">
        <v>3</v>
      </c>
      <c r="I50" s="2"/>
      <c r="J50" s="2"/>
      <c r="K50" s="2"/>
      <c r="L50" s="2"/>
    </row>
    <row r="51" spans="1:12" ht="60">
      <c r="A51" s="2" t="s">
        <v>200</v>
      </c>
      <c r="B51" s="2" t="s">
        <v>15</v>
      </c>
      <c r="C51" s="2" t="s">
        <v>201</v>
      </c>
      <c r="D51" s="2"/>
      <c r="E51" s="2"/>
      <c r="F51" s="2" t="s">
        <v>202</v>
      </c>
      <c r="G51" s="2" t="s">
        <v>203</v>
      </c>
      <c r="H51" s="2" t="s">
        <v>3</v>
      </c>
      <c r="I51" s="2"/>
      <c r="J51" s="2"/>
      <c r="K51" s="2"/>
      <c r="L51" s="2"/>
    </row>
  </sheetData>
  <mergeCells count="5">
    <mergeCell ref="A2:L2"/>
    <mergeCell ref="A11:L11"/>
    <mergeCell ref="A24:L24"/>
    <mergeCell ref="A29:L29"/>
    <mergeCell ref="A38:L38"/>
  </mergeCells>
  <conditionalFormatting sqref="H2:H51">
    <cfRule type="containsText" dxfId="3" priority="1" operator="containsText" text="Passed"/>
    <cfRule type="containsText" dxfId="2" priority="2" operator="containsText" text="Failed"/>
    <cfRule type="containsText" dxfId="1" priority="3" operator="containsText" text="In Progress"/>
    <cfRule type="containsText" dxfId="0" priority="4" operator="containsText" text="Blocked"/>
  </conditionalFormatting>
  <dataValidations count="1">
    <dataValidation type="list" sqref="H2:H51" xr:uid="{00000000-0002-0000-0100-000000000000}">
      <formula1>"Not Executed,In Progress,Passed,Skipped,Failed,Blocked"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baseColWidth="10" defaultColWidth="8.83203125" defaultRowHeight="15"/>
  <cols>
    <col min="1" max="1" width="20" customWidth="1"/>
    <col min="2" max="2" width="35" customWidth="1"/>
  </cols>
  <sheetData>
    <row r="1" spans="1:2">
      <c r="A1" s="9" t="s">
        <v>204</v>
      </c>
      <c r="B1" s="9" t="s">
        <v>205</v>
      </c>
    </row>
    <row r="2" spans="1:2">
      <c r="A2" s="4" t="s">
        <v>3</v>
      </c>
      <c r="B2" s="4" t="s">
        <v>206</v>
      </c>
    </row>
    <row r="3" spans="1:2">
      <c r="A3" s="4" t="s">
        <v>4</v>
      </c>
      <c r="B3" s="4" t="s">
        <v>207</v>
      </c>
    </row>
    <row r="4" spans="1:2">
      <c r="A4" s="4" t="s">
        <v>5</v>
      </c>
      <c r="B4" s="4" t="s">
        <v>208</v>
      </c>
    </row>
    <row r="5" spans="1:2">
      <c r="A5" s="4" t="s">
        <v>6</v>
      </c>
      <c r="B5" s="4" t="s">
        <v>209</v>
      </c>
    </row>
    <row r="6" spans="1:2">
      <c r="A6" s="4" t="s">
        <v>7</v>
      </c>
      <c r="B6" s="4" t="s">
        <v>210</v>
      </c>
    </row>
    <row r="7" spans="1:2">
      <c r="A7" s="4" t="s">
        <v>8</v>
      </c>
      <c r="B7" s="4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Summary</vt:lpstr>
      <vt:lpstr>Data Exchange</vt:lpstr>
      <vt:lpstr>สูตร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Nutthawut Jantakul (Nate)</cp:lastModifiedBy>
  <dcterms:created xsi:type="dcterms:W3CDTF">2026-08-25T17:25:49Z</dcterms:created>
  <dcterms:modified xsi:type="dcterms:W3CDTF">2026-08-31T02:14:57Z</dcterms:modified>
</cp:coreProperties>
</file>